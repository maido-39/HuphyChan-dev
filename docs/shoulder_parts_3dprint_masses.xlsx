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어깨 출력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</font>
    <font>
      <color rgb="00B04A2A"/>
      <sz val="9"/>
    </font>
  </fonts>
  <fills count="5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6CC"/>
      </patternFill>
    </fill>
    <fill>
      <patternFill patternType="solid">
        <fgColor rgb="00F8D7C0"/>
      </patternFill>
    </fill>
  </fills>
  <borders count="2">
    <border>
      <left/>
      <right/>
      <top/>
      <bottom/>
      <diagonal/>
    </border>
    <border>
      <left style="thin">
        <color rgb="00B0B7C0"/>
      </left>
      <right style="thin">
        <color rgb="00B0B7C0"/>
      </right>
      <top style="thin">
        <color rgb="00B0B7C0"/>
      </top>
      <bottom style="thin">
        <color rgb="00B0B7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0" customWidth="1" min="3" max="3"/>
    <col width="12" customWidth="1" min="4" max="4"/>
    <col width="16" customWidth="1" min="5" max="5"/>
    <col width="15" customWidth="1" min="6" max="6"/>
    <col width="15" customWidth="1" min="7" max="7"/>
    <col width="11" customWidth="1" min="8" max="8"/>
    <col width="11" customWidth="1" min="9" max="9"/>
    <col width="15" customWidth="1" min="10" max="10"/>
    <col width="46" customWidth="1" min="11" max="11"/>
  </cols>
  <sheetData>
    <row r="1">
      <c r="A1" s="1" t="inlineStr">
        <is>
          <t>Pygmalion 어깨 출력물 — 실측 질량 조사</t>
        </is>
      </c>
    </row>
    <row r="2">
      <c r="A2" s="2" t="inlineStr">
        <is>
          <t>노란 칸(G열)에만 입력하세요. 저울로 잰 값을 그램 숫자로 — 예: 84.2</t>
        </is>
      </c>
    </row>
    <row r="3">
      <c r="A3" s="2" t="inlineStr">
        <is>
          <t>대상: Torso2ShoulderP · Shoulder-Pitch2Roll 안의 출력 부품 (나사·와셔 제외). 알루미늄 기준 = 부피 x 2.7 g/cm3 (6061), PLA 기준 = 부피 x 0.887 g/cm3</t>
        </is>
      </c>
    </row>
    <row r="4">
      <c r="A4" s="2" t="inlineStr">
        <is>
          <t>출처: Fusion 360 문서 260819_HumanMesh_wUpper_URDFexport_v22 에서 뜬 부피. 부피는 재질과 무관하므로 기준 질량은 모두 이 부피에서 계산된 값입니다.</t>
        </is>
      </c>
    </row>
    <row r="6">
      <c r="A6" s="3" t="inlineStr">
        <is>
          <t>컴포넌트</t>
        </is>
      </c>
      <c r="B6" s="3" t="inlineStr">
        <is>
          <t>사진</t>
        </is>
      </c>
      <c r="C6" s="3" t="inlineStr">
        <is>
          <t>파츠명</t>
        </is>
      </c>
      <c r="D6" s="3" t="inlineStr">
        <is>
          <t>부피 (cm³)</t>
        </is>
      </c>
      <c r="E6" s="3" t="inlineStr">
        <is>
          <t>알루 6061 기준 (g)</t>
        </is>
      </c>
      <c r="F6" s="3" t="inlineStr">
        <is>
          <t>PLA 0.887 기준 (g)</t>
        </is>
      </c>
      <c r="G6" s="3" t="inlineStr">
        <is>
          <t>측정 질량 (g)</t>
        </is>
      </c>
      <c r="H6" s="3" t="inlineStr">
        <is>
          <t>측정/알루</t>
        </is>
      </c>
      <c r="I6" s="3" t="inlineStr">
        <is>
          <t>측정/PLA</t>
        </is>
      </c>
      <c r="J6" s="3" t="inlineStr">
        <is>
          <t>CAD 현재값 (g)</t>
        </is>
      </c>
      <c r="K6" s="3" t="inlineStr">
        <is>
          <t>비고</t>
        </is>
      </c>
    </row>
    <row r="7">
      <c r="A7" s="4" t="inlineStr">
        <is>
          <t>Shoulder-Pitch2Roll</t>
        </is>
      </c>
      <c r="B7" s="4" t="inlineStr"/>
      <c r="C7" s="4" t="inlineStr">
        <is>
          <t>Arm_ConnectorA</t>
        </is>
      </c>
      <c r="D7" s="4" t="n">
        <v>96.56399999999999</v>
      </c>
      <c r="E7" s="4" t="n">
        <v>260.72</v>
      </c>
      <c r="F7" s="4" t="n">
        <v>85.65000000000001</v>
      </c>
      <c r="G7" s="5" t="n"/>
      <c r="H7" s="4">
        <f>IF(G7="","",G7/E7)</f>
        <v/>
      </c>
      <c r="I7" s="4">
        <f>IF(G7="","",G7/F7)</f>
        <v/>
      </c>
      <c r="J7" s="4" t="n">
        <v>85.69</v>
      </c>
      <c r="K7" s="4" t="inlineStr"/>
    </row>
    <row r="8">
      <c r="A8" s="4" t="inlineStr">
        <is>
          <t>Shoulder-Pitch2Roll</t>
        </is>
      </c>
      <c r="B8" s="4" t="inlineStr"/>
      <c r="C8" s="4" t="inlineStr">
        <is>
          <t>Arm_ConnectorB</t>
        </is>
      </c>
      <c r="D8" s="4" t="n">
        <v>82.154</v>
      </c>
      <c r="E8" s="4" t="n">
        <v>221.82</v>
      </c>
      <c r="F8" s="4" t="n">
        <v>72.87</v>
      </c>
      <c r="G8" s="5" t="n"/>
      <c r="H8" s="4">
        <f>IF(G8="","",G8/E8)</f>
        <v/>
      </c>
      <c r="I8" s="4">
        <f>IF(G8="","",G8/F8)</f>
        <v/>
      </c>
      <c r="J8" s="4" t="n">
        <v>72.90000000000001</v>
      </c>
      <c r="K8" s="4" t="inlineStr"/>
    </row>
    <row r="9">
      <c r="A9" s="4" t="inlineStr">
        <is>
          <t>Shoulder-Pitch2Roll</t>
        </is>
      </c>
      <c r="B9" s="4" t="inlineStr"/>
      <c r="C9" s="4" t="inlineStr">
        <is>
          <t>ShoulderR_holderA</t>
        </is>
      </c>
      <c r="D9" s="4" t="n">
        <v>57.609</v>
      </c>
      <c r="E9" s="4" t="n">
        <v>155.54</v>
      </c>
      <c r="F9" s="4" t="n">
        <v>51.1</v>
      </c>
      <c r="G9" s="5" t="n"/>
      <c r="H9" s="4">
        <f>IF(G9="","",G9/E9)</f>
        <v/>
      </c>
      <c r="I9" s="4">
        <f>IF(G9="","",G9/F9)</f>
        <v/>
      </c>
      <c r="J9" s="4" t="n">
        <v>51.12</v>
      </c>
      <c r="K9" s="4" t="inlineStr"/>
    </row>
    <row r="10">
      <c r="A10" s="4" t="inlineStr">
        <is>
          <t>Shoulder-Pitch2Roll</t>
        </is>
      </c>
      <c r="B10" s="4" t="inlineStr"/>
      <c r="C10" s="4" t="inlineStr">
        <is>
          <t>Arm_Connector_MIDCOnnect</t>
        </is>
      </c>
      <c r="D10" s="4" t="n">
        <v>48.264</v>
      </c>
      <c r="E10" s="4" t="n">
        <v>130.31</v>
      </c>
      <c r="F10" s="4" t="n">
        <v>42.81</v>
      </c>
      <c r="G10" s="5" t="n"/>
      <c r="H10" s="4">
        <f>IF(G10="","",G10/E10)</f>
        <v/>
      </c>
      <c r="I10" s="4">
        <f>IF(G10="","",G10/F10)</f>
        <v/>
      </c>
      <c r="J10" s="4" t="n">
        <v>42.83</v>
      </c>
      <c r="K10" s="4" t="inlineStr"/>
    </row>
    <row r="11">
      <c r="A11" s="4" t="inlineStr">
        <is>
          <t>Shoulder-Pitch2Roll</t>
        </is>
      </c>
      <c r="B11" s="4" t="inlineStr"/>
      <c r="C11" s="4" t="inlineStr">
        <is>
          <t>ShoulderP2R</t>
        </is>
      </c>
      <c r="D11" s="4" t="n">
        <v>38.305</v>
      </c>
      <c r="E11" s="4" t="n">
        <v>103.42</v>
      </c>
      <c r="F11" s="4" t="n">
        <v>33.98</v>
      </c>
      <c r="G11" s="5" t="n"/>
      <c r="H11" s="4">
        <f>IF(G11="","",G11/E11)</f>
        <v/>
      </c>
      <c r="I11" s="4">
        <f>IF(G11="","",G11/F11)</f>
        <v/>
      </c>
      <c r="J11" s="4" t="n">
        <v>33.99</v>
      </c>
      <c r="K11" s="4" t="inlineStr"/>
    </row>
    <row r="12">
      <c r="A12" s="4" t="inlineStr">
        <is>
          <t>Shoulder-Pitch2Roll</t>
        </is>
      </c>
      <c r="B12" s="4" t="inlineStr"/>
      <c r="C12" s="4" t="inlineStr">
        <is>
          <t>Arm_ConnectorB_alpha</t>
        </is>
      </c>
      <c r="D12" s="4" t="n">
        <v>28.278</v>
      </c>
      <c r="E12" s="4" t="n">
        <v>76.34999999999999</v>
      </c>
      <c r="F12" s="4" t="n">
        <v>25.08</v>
      </c>
      <c r="G12" s="5" t="n"/>
      <c r="H12" s="4">
        <f>IF(G12="","",G12/E12)</f>
        <v/>
      </c>
      <c r="I12" s="4">
        <f>IF(G12="","",G12/F12)</f>
        <v/>
      </c>
      <c r="J12" s="4" t="n">
        <v>25.09</v>
      </c>
      <c r="K12" s="4" t="inlineStr"/>
    </row>
    <row r="13">
      <c r="A13" s="4" t="inlineStr">
        <is>
          <t>Shoulder-Pitch2Roll</t>
        </is>
      </c>
      <c r="B13" s="4" t="inlineStr"/>
      <c r="C13" s="4" t="inlineStr">
        <is>
          <t>ShoulderR_holderB</t>
        </is>
      </c>
      <c r="D13" s="4" t="n">
        <v>27.337</v>
      </c>
      <c r="E13" s="4" t="n">
        <v>73.81</v>
      </c>
      <c r="F13" s="4" t="n">
        <v>24.25</v>
      </c>
      <c r="G13" s="5" t="n"/>
      <c r="H13" s="4">
        <f>IF(G13="","",G13/E13)</f>
        <v/>
      </c>
      <c r="I13" s="4">
        <f>IF(G13="","",G13/F13)</f>
        <v/>
      </c>
      <c r="J13" s="4" t="n">
        <v>24.26</v>
      </c>
      <c r="K13" s="4" t="inlineStr"/>
    </row>
    <row r="14">
      <c r="A14" s="4" t="inlineStr">
        <is>
          <t>Shoulder-Pitch2Roll</t>
        </is>
      </c>
      <c r="B14" s="4" t="inlineStr"/>
      <c r="C14" s="4" t="inlineStr">
        <is>
          <t>Shoulder_Stopper_P</t>
        </is>
      </c>
      <c r="D14" s="4" t="n">
        <v>4.581</v>
      </c>
      <c r="E14" s="4" t="n">
        <v>12.37</v>
      </c>
      <c r="F14" s="4" t="n">
        <v>4.06</v>
      </c>
      <c r="G14" s="5" t="n"/>
      <c r="H14" s="4">
        <f>IF(G14="","",G14/E14)</f>
        <v/>
      </c>
      <c r="I14" s="4">
        <f>IF(G14="","",G14/F14)</f>
        <v/>
      </c>
      <c r="J14" s="4" t="n">
        <v>4.07</v>
      </c>
      <c r="K14" s="4" t="inlineStr"/>
    </row>
    <row r="15">
      <c r="A15" s="4" t="inlineStr">
        <is>
          <t>Shoulder-Pitch2Roll</t>
        </is>
      </c>
      <c r="B15" s="4" t="inlineStr"/>
      <c r="C15" s="4" t="inlineStr">
        <is>
          <t>Shoulder-Pitch2Roll-BearingCap</t>
        </is>
      </c>
      <c r="D15" s="4" t="n">
        <v>3.977</v>
      </c>
      <c r="E15" s="4" t="n">
        <v>10.74</v>
      </c>
      <c r="F15" s="4" t="n">
        <v>3.53</v>
      </c>
      <c r="G15" s="5" t="n"/>
      <c r="H15" s="4">
        <f>IF(G15="","",G15/E15)</f>
        <v/>
      </c>
      <c r="I15" s="4">
        <f>IF(G15="","",G15/F15)</f>
        <v/>
      </c>
      <c r="J15" s="4" t="n">
        <v>3.53</v>
      </c>
      <c r="K15" s="4" t="inlineStr"/>
    </row>
    <row r="16">
      <c r="A16" s="4" t="inlineStr">
        <is>
          <t>Torso2ShoulderP</t>
        </is>
      </c>
      <c r="B16" s="4" t="inlineStr"/>
      <c r="C16" s="4" t="inlineStr">
        <is>
          <t>Body1</t>
        </is>
      </c>
      <c r="D16" s="4" t="n">
        <v>69.13500000000001</v>
      </c>
      <c r="E16" s="4" t="n">
        <v>186.66</v>
      </c>
      <c r="F16" s="4" t="n">
        <v>61.32</v>
      </c>
      <c r="G16" s="5" t="n"/>
      <c r="H16" s="4">
        <f>IF(G16="","",G16/E16)</f>
        <v/>
      </c>
      <c r="I16" s="4">
        <f>IF(G16="","",G16/F16)</f>
        <v/>
      </c>
      <c r="J16" s="6" t="n">
        <v>542.71</v>
      </c>
      <c r="K16" s="4" t="inlineStr">
        <is>
          <t>⚠ CAD가 아직 금속 밀도(7.85 g/cm³) — 출력물이면 모델 질량이 과대</t>
        </is>
      </c>
    </row>
    <row r="18">
      <c r="C18" s="7" t="inlineStr">
        <is>
          <t>합계</t>
        </is>
      </c>
      <c r="D18" s="8">
        <f>SUM(D7:D16)</f>
        <v/>
      </c>
      <c r="E18" s="8">
        <f>SUM(E7:E16)</f>
        <v/>
      </c>
      <c r="F18" s="8">
        <f>SUM(F7:F16)</f>
        <v/>
      </c>
      <c r="G18" s="8">
        <f>SUM(G7:G16)</f>
        <v/>
      </c>
      <c r="J18" s="8">
        <f>SUM(J7:J16)</f>
        <v/>
      </c>
    </row>
    <row r="20">
      <c r="A20" s="9" t="inlineStr">
        <is>
          <t>※ 사진 열은 비어 있습니다 — Fusion 커넥터의 스크립트 실행이 중단되어 부품별 메쉬를 받아오지 못했습니다. 복구 후 이 스크립트를 다시 실행하면 숫자는 그대로 두고 사진만 채워집니다.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2026-08-27T06:23:17Z</dcterms:created>
  <dcterms:modified xmlns:dcterms="http://purl.org/dc/terms/" xmlns:xsi="http://www.w3.org/2001/XMLSchema-instance" xsi:type="dcterms:W3CDTF">2026-08-27T06:23:17Z</dcterms:modified>
</cp:coreProperties>
</file>